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дель 3 года" sheetId="1" state="visible" r:id="rId1"/>
    <sheet xmlns:r="http://schemas.openxmlformats.org/officeDocument/2006/relationships" name="Горизонт 5 лет" sheetId="2" state="visible" r:id="rId2"/>
    <sheet xmlns:r="http://schemas.openxmlformats.org/officeDocument/2006/relationships" name="Допущения и проверка" sheetId="3" state="visible" r:id="rId3"/>
  </sheets>
  <definedNames>
    <definedName name="_xlnm._FilterDatabase" localSheetId="0" hidden="1">'Модель 3 года'!$A$2:$G$30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 ₽;[Red]-#,##0.00 ₽;–"/>
    <numFmt numFmtId="165" formatCode="0.0%"/>
    <numFmt numFmtId="166" formatCode="0.00x"/>
    <numFmt numFmtId="167" formatCode="0.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0" pivotButton="0" quotePrefix="0" xfId="0"/>
    <xf numFmtId="4" fontId="0" fillId="0" borderId="0" pivotButton="0" quotePrefix="0" xfId="0"/>
    <xf numFmtId="0" fontId="3" fillId="6" borderId="1" applyAlignment="1" pivotButton="0" quotePrefix="0" xfId="0">
      <alignment vertical="top" wrapText="1"/>
    </xf>
    <xf numFmtId="164" fontId="3" fillId="6" borderId="1" applyAlignment="1" pivotButton="0" quotePrefix="0" xfId="0">
      <alignment vertical="top" wrapText="1"/>
    </xf>
    <xf numFmtId="164" fontId="0" fillId="0" borderId="0" pivotButton="0" quotePrefix="0" xfId="0"/>
    <xf numFmtId="167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22"/>
  <cols>
    <col width="18" customWidth="1" min="1" max="1"/>
    <col width="36" customWidth="1" min="2" max="2"/>
    <col width="19" customWidth="1" min="3" max="3"/>
    <col width="20" customWidth="1" min="4" max="4"/>
    <col width="22" customWidth="1" min="5" max="5"/>
    <col width="18" customWidth="1" min="6" max="6"/>
    <col width="48" customWidth="1" min="7" max="7"/>
  </cols>
  <sheetData>
    <row r="1" ht="25" customHeight="1">
      <c r="A1" s="1" t="inlineStr">
        <is>
          <t>Salacia Robotics — юнит-экономика и HR-эффект (3 года)</t>
        </is>
      </c>
    </row>
    <row r="2" ht="32" customHeight="1">
      <c r="A2" s="2" t="inlineStr">
        <is>
          <t>Категория</t>
        </is>
      </c>
      <c r="B2" s="2" t="inlineStr">
        <is>
          <t>Метрика</t>
        </is>
      </c>
      <c r="C2" s="2" t="inlineStr">
        <is>
          <t>1-й сезон (Пилот)</t>
        </is>
      </c>
      <c r="D2" s="2" t="inlineStr">
        <is>
          <t>2-й сезон (Масштаб)</t>
        </is>
      </c>
      <c r="E2" s="2" t="inlineStr">
        <is>
          <t>3-й сезон (Mainstream)</t>
        </is>
      </c>
      <c r="F2" s="2" t="inlineStr">
        <is>
          <t>ИТОГО (3 года)</t>
        </is>
      </c>
      <c r="G2" s="2" t="inlineStr">
        <is>
          <t>Пояснение / источник</t>
        </is>
      </c>
    </row>
    <row r="3">
      <c r="A3" s="3" t="inlineStr">
        <is>
          <t>Исходные данные</t>
        </is>
      </c>
      <c r="B3" s="3" t="inlineStr">
        <is>
          <t>Тираж банок с QR</t>
        </is>
      </c>
      <c r="C3" s="4" t="n">
        <v>100000</v>
      </c>
      <c r="D3" s="4" t="n">
        <v>200000</v>
      </c>
      <c r="E3" s="4" t="n">
        <v>300000</v>
      </c>
      <c r="F3" s="4">
        <f>SUM(C3:E3)</f>
        <v/>
      </c>
      <c r="G3" s="3" t="inlineStr">
        <is>
          <t>Масштабирование охвата</t>
        </is>
      </c>
    </row>
    <row r="4">
      <c r="A4" s="5" t="inlineStr">
        <is>
          <t>Исходные данные</t>
        </is>
      </c>
      <c r="B4" s="5" t="inlineStr">
        <is>
          <t>Стоимость печати 1 QR, ₽</t>
        </is>
      </c>
      <c r="C4" s="6" t="n">
        <v>1</v>
      </c>
      <c r="D4" s="6" t="n">
        <v>1</v>
      </c>
      <c r="E4" s="6" t="n">
        <v>1</v>
      </c>
      <c r="F4" s="6" t="inlineStr">
        <is>
          <t>—</t>
        </is>
      </c>
      <c r="G4" s="5" t="inlineStr">
        <is>
          <t>Допущение из исходных данных; рыночный ориентир от 0,82 ₽/шт</t>
        </is>
      </c>
    </row>
    <row r="5">
      <c r="A5" s="3" t="inlineStr">
        <is>
          <t>Воронка</t>
        </is>
      </c>
      <c r="B5" s="3" t="inlineStr">
        <is>
          <t>Сканирования QR (3%)</t>
        </is>
      </c>
      <c r="C5" s="4">
        <f>C3*3%</f>
        <v/>
      </c>
      <c r="D5" s="4">
        <f>D3*3%</f>
        <v/>
      </c>
      <c r="E5" s="4">
        <f>E3*3%</f>
        <v/>
      </c>
      <c r="F5" s="4">
        <f>SUM(C5:E5)</f>
        <v/>
      </c>
      <c r="G5" s="3" t="inlineStr">
        <is>
          <t>Скан-рейт — допущение 3%</t>
        </is>
      </c>
    </row>
    <row r="6">
      <c r="A6" s="5" t="inlineStr">
        <is>
          <t>Воронка</t>
        </is>
      </c>
      <c r="B6" s="5" t="inlineStr">
        <is>
          <t>Старт игры (40%)</t>
        </is>
      </c>
      <c r="C6" s="7">
        <f>C5*40%</f>
        <v/>
      </c>
      <c r="D6" s="7">
        <f>D5*40%</f>
        <v/>
      </c>
      <c r="E6" s="7">
        <f>E5*40%</f>
        <v/>
      </c>
      <c r="F6" s="7">
        <f>SUM(C6:E6)</f>
        <v/>
      </c>
      <c r="G6" s="5" t="inlineStr">
        <is>
          <t>Отсев на лендинге</t>
        </is>
      </c>
    </row>
    <row r="7">
      <c r="A7" s="3" t="inlineStr">
        <is>
          <t>Воронка</t>
        </is>
      </c>
      <c r="B7" s="3" t="inlineStr">
        <is>
          <t>Прохождение квеста (25%)</t>
        </is>
      </c>
      <c r="C7" s="4">
        <f>C6*25%</f>
        <v/>
      </c>
      <c r="D7" s="4">
        <f>D6*25%</f>
        <v/>
      </c>
      <c r="E7" s="4">
        <f>E6*25%</f>
        <v/>
      </c>
      <c r="F7" s="4">
        <f>SUM(C7:E7)</f>
        <v/>
      </c>
      <c r="G7" s="3" t="inlineStr">
        <is>
          <t>Доходят мотивированные</t>
        </is>
      </c>
    </row>
    <row r="8">
      <c r="A8" s="5" t="inlineStr">
        <is>
          <t>Воронка</t>
        </is>
      </c>
      <c r="B8" s="5" t="inlineStr">
        <is>
          <t>Отклики (20%)</t>
        </is>
      </c>
      <c r="C8" s="7">
        <f>C7*20%</f>
        <v/>
      </c>
      <c r="D8" s="7">
        <f>D7*20%</f>
        <v/>
      </c>
      <c r="E8" s="7">
        <f>E7*20%</f>
        <v/>
      </c>
      <c r="F8" s="7">
        <f>SUM(C8:E8)</f>
        <v/>
      </c>
      <c r="G8" s="5" t="inlineStr">
        <is>
          <t>Нажимают «Откликнуться»</t>
        </is>
      </c>
    </row>
    <row r="9">
      <c r="A9" s="3" t="inlineStr">
        <is>
          <t>Воронка</t>
        </is>
      </c>
      <c r="B9" s="3" t="inlineStr">
        <is>
          <t>Найм (15%)</t>
        </is>
      </c>
      <c r="C9" s="4">
        <f>ROUND(C8*15%,0)</f>
        <v/>
      </c>
      <c r="D9" s="4">
        <f>ROUND(D8*15%,0)</f>
        <v/>
      </c>
      <c r="E9" s="4">
        <f>ROUND(E8*15%,0)</f>
        <v/>
      </c>
      <c r="F9" s="4">
        <f>SUM(C9:E9)</f>
        <v/>
      </c>
      <c r="G9" s="3" t="inlineStr">
        <is>
          <t>Количество наймов по воронке</t>
        </is>
      </c>
    </row>
    <row r="10">
      <c r="A10" s="5" t="inlineStr">
        <is>
          <t>Затраты (COGS)</t>
        </is>
      </c>
      <c r="B10" s="5" t="inlineStr">
        <is>
          <t>Печать QR, ₽</t>
        </is>
      </c>
      <c r="C10" s="5">
        <f>C3*C4</f>
        <v/>
      </c>
      <c r="D10" s="5">
        <f>D3*D4</f>
        <v/>
      </c>
      <c r="E10" s="5">
        <f>E3*E4</f>
        <v/>
      </c>
      <c r="F10" s="5">
        <f>SUM(C11:E11)</f>
        <v/>
      </c>
      <c r="G10" s="5" t="inlineStr">
        <is>
          <t>Тираж × стоимость печати</t>
        </is>
      </c>
    </row>
    <row r="11">
      <c r="A11" s="3" t="inlineStr">
        <is>
          <t>Затраты (COGS)</t>
        </is>
      </c>
      <c r="B11" s="3" t="inlineStr">
        <is>
          <t>Хостинг и домен, ₽</t>
        </is>
      </c>
      <c r="C11" s="8" t="n">
        <v>9000</v>
      </c>
      <c r="D11" s="8" t="n">
        <v>9000</v>
      </c>
      <c r="E11" s="8" t="n">
        <v>9000</v>
      </c>
      <c r="F11" s="8">
        <f>SUM(C12:E12)</f>
        <v/>
      </c>
      <c r="G11" s="3" t="inlineStr">
        <is>
          <t>VPS 1 500 ₽/мес × 6 мес</t>
        </is>
      </c>
    </row>
    <row r="12">
      <c r="A12" s="5" t="inlineStr">
        <is>
          <t>Затраты (COGS)</t>
        </is>
      </c>
      <c r="B12" s="5" t="inlineStr">
        <is>
          <t>Реклама в пабликах, ₽</t>
        </is>
      </c>
      <c r="C12" s="6" t="n">
        <v>60000</v>
      </c>
      <c r="D12" s="6">
        <f>C13*1.1</f>
        <v/>
      </c>
      <c r="E12" s="6">
        <f>D13*1.1</f>
        <v/>
      </c>
      <c r="F12" s="6">
        <f>SUM(C13:E13)</f>
        <v/>
      </c>
      <c r="G12" s="5" t="inlineStr">
        <is>
          <t>+10% в год</t>
        </is>
      </c>
    </row>
    <row r="13">
      <c r="A13" s="3" t="inlineStr">
        <is>
          <t>Затраты (COGS)</t>
        </is>
      </c>
      <c r="B13" s="3" t="inlineStr">
        <is>
          <t>Мерч (кастом, эксклюзив), ₽</t>
        </is>
      </c>
      <c r="C13" s="8" t="n">
        <v>120000</v>
      </c>
      <c r="D13" s="8">
        <f>C14*1.05</f>
        <v/>
      </c>
      <c r="E13" s="8">
        <f>D14*1.05</f>
        <v/>
      </c>
      <c r="F13" s="8">
        <f>SUM(C14:E14)</f>
        <v/>
      </c>
      <c r="G13" s="3" t="inlineStr">
        <is>
          <t>+5% в год</t>
        </is>
      </c>
    </row>
    <row r="14">
      <c r="A14" s="5" t="inlineStr">
        <is>
          <t>Затраты (COGS)</t>
        </is>
      </c>
      <c r="B14" s="5" t="inlineStr">
        <is>
          <t>Итого COGS, ₽</t>
        </is>
      </c>
      <c r="C14" s="6">
        <f>SUM(C11:C14)</f>
        <v/>
      </c>
      <c r="D14" s="6">
        <f>SUM(D11:D14)</f>
        <v/>
      </c>
      <c r="E14" s="6">
        <f>SUM(E11:E14)</f>
        <v/>
      </c>
      <c r="F14" s="6">
        <f>SUM(C15:E15)</f>
        <v/>
      </c>
      <c r="G14" s="5" t="inlineStr"/>
    </row>
    <row r="15">
      <c r="A15" s="9" t="inlineStr">
        <is>
          <t>CapEx</t>
        </is>
      </c>
      <c r="B15" s="9" t="inlineStr">
        <is>
          <t>Настройка админки/экспорта, ₽</t>
        </is>
      </c>
      <c r="C15" s="10" t="n">
        <v>25000</v>
      </c>
      <c r="D15" s="10" t="n">
        <v>0</v>
      </c>
      <c r="E15" s="10" t="n">
        <v>0</v>
      </c>
      <c r="F15" s="10">
        <f>SUM(C17:E17)</f>
        <v/>
      </c>
      <c r="G15" s="9" t="inlineStr">
        <is>
          <t>Разово, 1-й год</t>
        </is>
      </c>
    </row>
    <row r="16">
      <c r="A16" s="5" t="inlineStr">
        <is>
          <t>CapEx</t>
        </is>
      </c>
      <c r="B16" s="5" t="inlineStr">
        <is>
          <t>Редизайн банки, ₽</t>
        </is>
      </c>
      <c r="C16" s="5" t="n">
        <v>30000</v>
      </c>
      <c r="D16" s="5" t="n">
        <v>0</v>
      </c>
      <c r="E16" s="5" t="n">
        <v>0</v>
      </c>
      <c r="F16" s="5">
        <f>SUM(C18:E18)</f>
        <v/>
      </c>
      <c r="G16" s="5" t="inlineStr">
        <is>
          <t>Разово, 1-й год</t>
        </is>
      </c>
    </row>
    <row r="17">
      <c r="A17" s="3" t="inlineStr">
        <is>
          <t>CapEx</t>
        </is>
      </c>
      <c r="B17" s="3" t="inlineStr">
        <is>
          <t>Юридические расходы, ₽</t>
        </is>
      </c>
      <c r="C17" s="8" t="n">
        <v>20000</v>
      </c>
      <c r="D17" s="8" t="n">
        <v>0</v>
      </c>
      <c r="E17" s="8" t="n">
        <v>0</v>
      </c>
      <c r="F17" s="8">
        <f>SUM(C19:E19)</f>
        <v/>
      </c>
      <c r="G17" s="3" t="inlineStr">
        <is>
          <t>Разово, 1-й год</t>
        </is>
      </c>
    </row>
    <row r="18">
      <c r="A18" s="5" t="inlineStr">
        <is>
          <t>CapEx</t>
        </is>
      </c>
      <c r="B18" s="5" t="inlineStr">
        <is>
          <t>Итого CapEx, ₽</t>
        </is>
      </c>
      <c r="C18" s="6">
        <f>SUM(C17:C19)</f>
        <v/>
      </c>
      <c r="D18" s="6">
        <f>SUM(D17:D19)</f>
        <v/>
      </c>
      <c r="E18" s="6">
        <f>SUM(E17:E19)</f>
        <v/>
      </c>
      <c r="F18" s="6">
        <f>SUM(C20:E20)</f>
        <v/>
      </c>
      <c r="G18" s="5" t="inlineStr">
        <is>
          <t>75 000 ₽ в 1-й год</t>
        </is>
      </c>
    </row>
    <row r="19">
      <c r="A19" s="3" t="inlineStr">
        <is>
          <t>Затраты</t>
        </is>
      </c>
      <c r="B19" s="3" t="inlineStr">
        <is>
          <t>ИТОГО ЗАТРАТ, ₽</t>
        </is>
      </c>
      <c r="C19" s="8">
        <f>C15+C20</f>
        <v/>
      </c>
      <c r="D19" s="8">
        <f>D15+D20</f>
        <v/>
      </c>
      <c r="E19" s="8">
        <f>E15+E20</f>
        <v/>
      </c>
      <c r="F19" s="8">
        <f>SUM(C21:E21)</f>
        <v/>
      </c>
      <c r="G19" s="3" t="inlineStr">
        <is>
          <t>COGS + CapEx</t>
        </is>
      </c>
    </row>
    <row r="20">
      <c r="A20" s="9" t="inlineStr">
        <is>
          <t>HR-эффект</t>
        </is>
      </c>
      <c r="B20" s="9" t="inlineStr">
        <is>
          <t>Полный CPH (с CapEx), ₽</t>
        </is>
      </c>
      <c r="C20" s="10">
        <f>IFERROR(C21/C9,0)</f>
        <v/>
      </c>
      <c r="D20" s="10">
        <f>IFERROR(D21/D9,0)</f>
        <v/>
      </c>
      <c r="E20" s="10">
        <f>IFERROR(E21/E9,0)</f>
        <v/>
      </c>
      <c r="F20" s="10">
        <f>IFERROR(F21/F9,0)</f>
        <v/>
      </c>
      <c r="G20" s="9" t="inlineStr">
        <is>
          <t>Стоимость одного найма по каналу</t>
        </is>
      </c>
    </row>
    <row r="21">
      <c r="A21" s="9" t="inlineStr">
        <is>
          <t>HR-эффект</t>
        </is>
      </c>
      <c r="B21" s="9" t="inlineStr">
        <is>
          <t>Рыночная стоимость найма, ₽</t>
        </is>
      </c>
      <c r="C21" s="10" t="n">
        <v>35000</v>
      </c>
      <c r="D21" s="10" t="n">
        <v>35000</v>
      </c>
      <c r="E21" s="10" t="n">
        <v>35000</v>
      </c>
      <c r="F21" s="10" t="inlineStr">
        <is>
          <t>—</t>
        </is>
      </c>
      <c r="G21" s="9" t="inlineStr">
        <is>
          <t>Бенчмарк из исходных данных</t>
        </is>
      </c>
    </row>
    <row r="22">
      <c r="A22" s="5" t="inlineStr">
        <is>
          <t>HR-эффект</t>
        </is>
      </c>
      <c r="B22" s="5" t="inlineStr">
        <is>
          <t>Экономия на найме (1 чел.), ₽</t>
        </is>
      </c>
      <c r="C22" s="6">
        <f>C23-C22</f>
        <v/>
      </c>
      <c r="D22" s="6">
        <f>D23-D22</f>
        <v/>
      </c>
      <c r="E22" s="6">
        <f>E23-E22</f>
        <v/>
      </c>
      <c r="F22" s="6">
        <f>IFERROR(F23-F22,0)</f>
        <v/>
      </c>
      <c r="G22" s="5" t="inlineStr">
        <is>
          <t>Рыночная стоимость минус CPH</t>
        </is>
      </c>
    </row>
    <row r="23">
      <c r="A23" s="3" t="inlineStr">
        <is>
          <t>HR-эффект</t>
        </is>
      </c>
      <c r="B23" s="3" t="inlineStr">
        <is>
          <t>Экономия на найме (всего), ₽</t>
        </is>
      </c>
      <c r="C23" s="8">
        <f>C24*C9</f>
        <v/>
      </c>
      <c r="D23" s="8">
        <f>D24*D9</f>
        <v/>
      </c>
      <c r="E23" s="8">
        <f>E24*E9</f>
        <v/>
      </c>
      <c r="F23" s="8">
        <f>SUM(C25:E25)</f>
        <v/>
      </c>
      <c r="G23" s="3" t="inlineStr">
        <is>
          <t>Экономия на найме × количество наймов</t>
        </is>
      </c>
    </row>
    <row r="24">
      <c r="A24" s="5" t="inlineStr">
        <is>
          <t>HR-эффект</t>
        </is>
      </c>
      <c r="B24" s="5" t="inlineStr">
        <is>
          <t>Экономия от снижения отсева, ₽</t>
        </is>
      </c>
      <c r="C24" s="6">
        <f>C9*18%*250000</f>
        <v/>
      </c>
      <c r="D24" s="6">
        <f>D9*18%*250000</f>
        <v/>
      </c>
      <c r="E24" s="6">
        <f>E9*18%*250000</f>
        <v/>
      </c>
      <c r="F24" s="6">
        <f>SUM(C26:E26)</f>
        <v/>
      </c>
      <c r="G24" s="5" t="inlineStr">
        <is>
          <t>Формула восстановлена буквально по записи «наймы × 18% × 250 000 ₽»; требует проверки смысла</t>
        </is>
      </c>
    </row>
    <row r="25">
      <c r="A25" s="3" t="inlineStr">
        <is>
          <t>HR-эффект</t>
        </is>
      </c>
      <c r="B25" s="3" t="inlineStr">
        <is>
          <t>ИТОГО ЭКОНОМИЯ, ₽</t>
        </is>
      </c>
      <c r="C25" s="8">
        <f>C25+C26</f>
        <v/>
      </c>
      <c r="D25" s="8">
        <f>D25+D26</f>
        <v/>
      </c>
      <c r="E25" s="8">
        <f>E25+E26</f>
        <v/>
      </c>
      <c r="F25" s="8">
        <f>SUM(C27:E27)</f>
        <v/>
      </c>
      <c r="G25" s="3" t="inlineStr"/>
    </row>
    <row r="26">
      <c r="A26" s="5" t="inlineStr">
        <is>
          <t>ROI</t>
        </is>
      </c>
      <c r="B26" s="5" t="inlineStr">
        <is>
          <t>Чистый эффект, ₽</t>
        </is>
      </c>
      <c r="C26" s="6">
        <f>C27-C21</f>
        <v/>
      </c>
      <c r="D26" s="6">
        <f>D27-D21</f>
        <v/>
      </c>
      <c r="E26" s="6">
        <f>E27-E21</f>
        <v/>
      </c>
      <c r="F26" s="6">
        <f>SUM(C28:E28)</f>
        <v/>
      </c>
      <c r="G26" s="5" t="inlineStr">
        <is>
          <t>Экономия минус затраты</t>
        </is>
      </c>
    </row>
    <row r="27">
      <c r="A27" s="11" t="inlineStr">
        <is>
          <t>ROI</t>
        </is>
      </c>
      <c r="B27" s="11" t="inlineStr">
        <is>
          <t>ROI</t>
        </is>
      </c>
      <c r="C27" s="12">
        <f>IFERROR(C28/C21,0)</f>
        <v/>
      </c>
      <c r="D27" s="12">
        <f>IFERROR(D28/D21,0)</f>
        <v/>
      </c>
      <c r="E27" s="12">
        <f>IFERROR(E28/E21,0)</f>
        <v/>
      </c>
      <c r="F27" s="12">
        <f>IFERROR(F28/F21,0)</f>
        <v/>
      </c>
      <c r="G27" s="11" t="inlineStr">
        <is>
          <t>Чистый эффект / затраты</t>
        </is>
      </c>
    </row>
    <row r="28">
      <c r="A28" s="11" t="inlineStr">
        <is>
          <t>Метрики</t>
        </is>
      </c>
      <c r="B28" s="11" t="inlineStr">
        <is>
          <t>ELTV, ₽</t>
        </is>
      </c>
      <c r="C28" s="12">
        <f>C23-12000+250000</f>
        <v/>
      </c>
      <c r="D28" s="12">
        <f>D23-12000+250000</f>
        <v/>
      </c>
      <c r="E28" s="12">
        <f>E23-12000+250000</f>
        <v/>
      </c>
      <c r="F28" s="12" t="inlineStr">
        <is>
          <t>—</t>
        </is>
      </c>
      <c r="G28" s="11" t="inlineStr">
        <is>
          <t>Формула из исходного текста</t>
        </is>
      </c>
    </row>
    <row r="29">
      <c r="A29" s="3" t="inlineStr">
        <is>
          <t>Метрики</t>
        </is>
      </c>
      <c r="B29" s="3" t="inlineStr">
        <is>
          <t>ELTV / CoH</t>
        </is>
      </c>
      <c r="C29" s="13">
        <f>IFERROR(C30/C22,0)</f>
        <v/>
      </c>
      <c r="D29" s="13">
        <f>IFERROR(D30/D22,0)</f>
        <v/>
      </c>
      <c r="E29" s="13">
        <f>IFERROR(E30/E22,0)</f>
        <v/>
      </c>
      <c r="F29" s="13">
        <f>AVERAGE(C31:E31)</f>
        <v/>
      </c>
      <c r="G29" s="3" t="inlineStr">
        <is>
          <t>Сопоставление ELTV и стоимости найма</t>
        </is>
      </c>
    </row>
    <row r="30">
      <c r="A30" s="5" t="inlineStr">
        <is>
          <t>Окупаемость</t>
        </is>
      </c>
      <c r="B30" s="5" t="inlineStr">
        <is>
          <t>Payback CapEx, наймов</t>
        </is>
      </c>
      <c r="C30" s="6">
        <f>IFERROR(C20/(D27-D15),0)</f>
        <v/>
      </c>
      <c r="D30" s="6" t="inlineStr">
        <is>
          <t>—</t>
        </is>
      </c>
      <c r="E30" s="6" t="inlineStr">
        <is>
          <t>—</t>
        </is>
      </c>
      <c r="F30" s="6" t="inlineStr">
        <is>
          <t>—</t>
        </is>
      </c>
      <c r="G30" s="5" t="inlineStr">
        <is>
          <t>Формула из исходного текста; результат зависит от спорной строки экономии от отсева</t>
        </is>
      </c>
    </row>
    <row r="31">
      <c r="C31" s="14" t="n"/>
      <c r="D31" s="14" t="n"/>
      <c r="E31" s="14" t="n"/>
      <c r="F31" s="14" t="n"/>
    </row>
    <row r="32">
      <c r="C32" s="15" t="n"/>
      <c r="D32" s="15" t="n"/>
      <c r="E32" s="15" t="n"/>
      <c r="F32" s="15" t="n"/>
    </row>
    <row r="33">
      <c r="C33" s="15" t="n"/>
      <c r="D33" s="15" t="n"/>
      <c r="E33" s="15" t="n"/>
      <c r="F33" s="15" t="n"/>
    </row>
  </sheetData>
  <autoFilter ref="A2:G30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zoomScale="85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22"/>
  <cols>
    <col width="36" customWidth="1" min="1" max="1"/>
    <col width="22" customWidth="1" min="2" max="2"/>
    <col width="38" customWidth="1" min="3" max="3"/>
    <col width="65" customWidth="1" min="4" max="4"/>
  </cols>
  <sheetData>
    <row r="1" ht="25" customHeight="1">
      <c r="A1" s="1" t="inlineStr">
        <is>
          <t>Salacia Robotics — сценарий на 5 лет</t>
        </is>
      </c>
    </row>
    <row r="2" ht="32" customHeight="1">
      <c r="A2" s="2" t="inlineStr">
        <is>
          <t>Показатель</t>
        </is>
      </c>
      <c r="B2" s="2" t="inlineStr">
        <is>
          <t>Значение</t>
        </is>
      </c>
      <c r="C2" s="2" t="inlineStr">
        <is>
          <t>Формула / статус</t>
        </is>
      </c>
      <c r="D2" s="2" t="inlineStr">
        <is>
          <t>Пояснение</t>
        </is>
      </c>
    </row>
    <row r="3">
      <c r="A3" s="3" t="inlineStr">
        <is>
          <t>Тираж банок с QR</t>
        </is>
      </c>
      <c r="B3" s="4">
        <f>SUM(B4:B8)</f>
        <v/>
      </c>
      <c r="C3" s="3" t="inlineStr">
        <is>
          <t>Сумма тиражей за 5 лет</t>
        </is>
      </c>
      <c r="D3" s="3" t="inlineStr">
        <is>
          <t>В исходных данных указано 1 000 000 шт.</t>
        </is>
      </c>
    </row>
    <row r="4">
      <c r="A4" s="5" t="inlineStr">
        <is>
          <t>Тираж — год 1</t>
        </is>
      </c>
      <c r="B4" s="7" t="n">
        <v>100000</v>
      </c>
      <c r="C4" s="5" t="inlineStr">
        <is>
          <t>Вводное значение</t>
        </is>
      </c>
      <c r="D4" s="5" t="inlineStr"/>
    </row>
    <row r="5">
      <c r="A5" s="3" t="inlineStr">
        <is>
          <t>Тираж — год 2</t>
        </is>
      </c>
      <c r="B5" s="4" t="n">
        <v>200000</v>
      </c>
      <c r="C5" s="3" t="inlineStr">
        <is>
          <t>Вводное значение</t>
        </is>
      </c>
      <c r="D5" s="3" t="inlineStr"/>
    </row>
    <row r="6">
      <c r="A6" s="5" t="inlineStr">
        <is>
          <t>Тираж — год 3</t>
        </is>
      </c>
      <c r="B6" s="7" t="n">
        <v>200000</v>
      </c>
      <c r="C6" s="5" t="inlineStr">
        <is>
          <t>Вводное значение</t>
        </is>
      </c>
      <c r="D6" s="5" t="inlineStr"/>
    </row>
    <row r="7">
      <c r="A7" s="3" t="inlineStr">
        <is>
          <t>Тираж — год 4</t>
        </is>
      </c>
      <c r="B7" s="4" t="n">
        <v>250000</v>
      </c>
      <c r="C7" s="3" t="inlineStr">
        <is>
          <t>Вводное значение</t>
        </is>
      </c>
      <c r="D7" s="3" t="inlineStr"/>
    </row>
    <row r="8">
      <c r="A8" s="5" t="inlineStr">
        <is>
          <t>Тираж — год 5</t>
        </is>
      </c>
      <c r="B8" s="7" t="n">
        <v>250000</v>
      </c>
      <c r="C8" s="5" t="inlineStr">
        <is>
          <t>Вводное значение</t>
        </is>
      </c>
      <c r="D8" s="5" t="inlineStr"/>
    </row>
    <row r="9">
      <c r="A9" s="3" t="inlineStr">
        <is>
          <t>Всего наймов (5 лет)</t>
        </is>
      </c>
      <c r="B9" s="4" t="n">
        <v>91</v>
      </c>
      <c r="C9" s="3" t="inlineStr">
        <is>
          <t>Заявлено в исходном тексте</t>
        </is>
      </c>
      <c r="D9" s="3" t="inlineStr">
        <is>
          <t>Не совпадает автоматически с воронкой листа «Модель 3 года»; задано как отдельное допущение</t>
        </is>
      </c>
    </row>
    <row r="10">
      <c r="A10" s="5" t="inlineStr">
        <is>
          <t>Средний CPH, ₽</t>
        </is>
      </c>
      <c r="B10" s="6" t="n">
        <v>15600</v>
      </c>
      <c r="C10" s="5" t="inlineStr">
        <is>
          <t>Заявлено в исходном тексте</t>
        </is>
      </c>
      <c r="D10" s="5" t="inlineStr">
        <is>
          <t>Указано приблизительно; не пересчитывается без годовой модели на 5 лет</t>
        </is>
      </c>
    </row>
    <row r="11">
      <c r="A11" s="3" t="inlineStr">
        <is>
          <t>Рыночная стоимость найма, ₽</t>
        </is>
      </c>
      <c r="B11" s="8" t="n">
        <v>35000</v>
      </c>
      <c r="C11" s="3" t="inlineStr">
        <is>
          <t>Из исходных данных</t>
        </is>
      </c>
      <c r="D11" s="3" t="inlineStr"/>
    </row>
    <row r="12">
      <c r="A12" s="5" t="inlineStr">
        <is>
          <t>Экономия на найме до затрат, ₽</t>
        </is>
      </c>
      <c r="B12" s="6">
        <f>B9*B11</f>
        <v/>
      </c>
      <c r="C12" s="5" t="inlineStr">
        <is>
          <t>Количество наймов × рыночная стоимость найма</t>
        </is>
      </c>
      <c r="D12" s="5" t="inlineStr">
        <is>
          <t>Это валовая стоимость альтернативного найма, а не экономия за вычетом CPH</t>
        </is>
      </c>
    </row>
    <row r="13">
      <c r="A13" s="3" t="inlineStr">
        <is>
          <t>Затраты через канал, ₽</t>
        </is>
      </c>
      <c r="B13" s="8" t="n">
        <v>1420000</v>
      </c>
      <c r="C13" s="3" t="inlineStr">
        <is>
          <t>Заявлено в исходном тексте</t>
        </is>
      </c>
      <c r="D13" s="3" t="inlineStr">
        <is>
          <t>Сумма COGS + CapEx за 5 лет; нет детальной годовой раскладки в исходных данных</t>
        </is>
      </c>
    </row>
    <row r="14">
      <c r="A14" s="16" t="inlineStr">
        <is>
          <t>Чистая экономия, ₽</t>
        </is>
      </c>
      <c r="B14" s="17">
        <f>B12-B13</f>
        <v/>
      </c>
      <c r="C14" s="16" t="inlineStr">
        <is>
          <t>Валовая экономия − затраты</t>
        </is>
      </c>
      <c r="D14" s="16" t="inlineStr">
        <is>
          <t>В исходном тексте приведено 1,77 млн ₽; для корректной экономии следует учитывать фактический CPH</t>
        </is>
      </c>
    </row>
    <row r="15">
      <c r="A15" s="3" t="inlineStr">
        <is>
          <t>Экономия на найме с учётом CPH, ₽</t>
        </is>
      </c>
      <c r="B15" s="8">
        <f>B9*(B11-B10)</f>
        <v/>
      </c>
      <c r="C15" s="3" t="inlineStr">
        <is>
          <t>Наймы × (рыночный CPH − средний CPH)</t>
        </is>
      </c>
      <c r="D15" s="3" t="inlineStr">
        <is>
          <t>При 91 найме и среднем CPH 15 600 ₽</t>
        </is>
      </c>
    </row>
    <row r="16">
      <c r="A16" s="16" t="inlineStr">
        <is>
          <t>Чистый эффект после затрат, ₽</t>
        </is>
      </c>
      <c r="B16" s="17">
        <f>B15-B13</f>
        <v/>
      </c>
      <c r="C16" s="16" t="inlineStr">
        <is>
          <t>Экономия с учётом CPH − затраты</t>
        </is>
      </c>
      <c r="D16" s="16" t="inlineStr">
        <is>
          <t>Показатель для проверки согласованности исходных цифр</t>
        </is>
      </c>
    </row>
    <row r="17">
      <c r="A17" s="3" t="inlineStr">
        <is>
          <t>CapEx, ₽</t>
        </is>
      </c>
      <c r="B17" s="8" t="n">
        <v>75000</v>
      </c>
      <c r="C17" s="3" t="inlineStr">
        <is>
          <t>Разовые вложения первого года</t>
        </is>
      </c>
      <c r="D17" s="3" t="inlineStr"/>
    </row>
    <row r="18">
      <c r="A18" s="5" t="inlineStr">
        <is>
          <t>Окупаемость CapEx, наймов</t>
        </is>
      </c>
      <c r="B18" s="6">
        <f>B18/(B11-B10)</f>
        <v/>
      </c>
      <c r="C18" s="5" t="inlineStr">
        <is>
          <t>CapEx / экономия на одном найме</t>
        </is>
      </c>
      <c r="D18" s="5" t="inlineStr">
        <is>
          <t>Простая оценка при среднем CPH; результат не обязательно равен 5 наймам</t>
        </is>
      </c>
    </row>
    <row r="19">
      <c r="B19" s="18" t="n"/>
    </row>
    <row r="20">
      <c r="B20" s="19" t="n"/>
    </row>
    <row r="21"/>
    <row r="22">
      <c r="A22" s="20" t="inlineStr">
        <is>
          <t>Важное замечание</t>
        </is>
      </c>
      <c r="B22" s="21" t="inlineStr">
        <is>
          <t>Исходные показатели «91 найм», «1,42 млн ₽ затрат» и «1,77 млн ₽ чистой экономии» не выводятся однозначно из таблицы на 3 года. Они сохранены как отдельные входные данные, а рядом добавлен проверочный расчёт экономии с учётом среднего CPH. Перед презентацией нужно согласовать методику: валовая стоимость найма 91 × 35 000 ₽ не является чистой экономией.</t>
        </is>
      </c>
    </row>
    <row r="23"/>
    <row r="24"/>
  </sheetData>
  <mergeCells count="2">
    <mergeCell ref="B22:D24"/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zoomScale="85"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22"/>
  <cols>
    <col width="40" customWidth="1" min="1" max="1"/>
    <col width="32" customWidth="1" min="2" max="2"/>
    <col width="78" customWidth="1" min="3" max="3"/>
  </cols>
  <sheetData>
    <row r="1" ht="25" customHeight="1">
      <c r="A1" s="1" t="inlineStr">
        <is>
          <t>Допущения, источники и проверки модели</t>
        </is>
      </c>
    </row>
    <row r="2" ht="32" customHeight="1">
      <c r="A2" s="2" t="inlineStr">
        <is>
          <t>Параметр</t>
        </is>
      </c>
      <c r="B2" s="2" t="inlineStr">
        <is>
          <t>Значение</t>
        </is>
      </c>
      <c r="C2" s="2" t="inlineStr">
        <is>
          <t>Комментарий</t>
        </is>
      </c>
    </row>
    <row r="3">
      <c r="A3" s="3" t="inlineStr">
        <is>
          <t>Скан-рейт</t>
        </is>
      </c>
      <c r="B3" s="13" t="n">
        <v>0.03</v>
      </c>
      <c r="C3" s="3" t="inlineStr">
        <is>
          <t>Допущение из исходного текста</t>
        </is>
      </c>
    </row>
    <row r="4">
      <c r="A4" s="5" t="inlineStr">
        <is>
          <t>Старт игры от сканирований</t>
        </is>
      </c>
      <c r="B4" s="22" t="n">
        <v>0.4</v>
      </c>
      <c r="C4" s="5" t="inlineStr">
        <is>
          <t>Допущение из исходного текста</t>
        </is>
      </c>
    </row>
    <row r="5">
      <c r="A5" s="3" t="inlineStr">
        <is>
          <t>Прохождение квеста от стартов</t>
        </is>
      </c>
      <c r="B5" s="13" t="n">
        <v>0.25</v>
      </c>
      <c r="C5" s="3" t="inlineStr">
        <is>
          <t>Допущение из исходного текста</t>
        </is>
      </c>
    </row>
    <row r="6">
      <c r="A6" s="5" t="inlineStr">
        <is>
          <t>Отклик от прохождений</t>
        </is>
      </c>
      <c r="B6" s="22" t="n">
        <v>0.2</v>
      </c>
      <c r="C6" s="5" t="inlineStr">
        <is>
          <t>Допущение из исходного текста</t>
        </is>
      </c>
    </row>
    <row r="7">
      <c r="A7" s="3" t="inlineStr">
        <is>
          <t>Найм от откликов</t>
        </is>
      </c>
      <c r="B7" s="13" t="n">
        <v>0.15</v>
      </c>
      <c r="C7" s="3" t="inlineStr">
        <is>
          <t>Допущение из исходного текста</t>
        </is>
      </c>
    </row>
    <row r="8">
      <c r="A8" s="5" t="inlineStr">
        <is>
          <t>Рыночная стоимость найма, ₽</t>
        </is>
      </c>
      <c r="B8" s="6" t="n">
        <v>35000</v>
      </c>
      <c r="C8" s="5" t="inlineStr">
        <is>
          <t>Бенчмарк из исходного текста</t>
        </is>
      </c>
    </row>
    <row r="9">
      <c r="A9" s="3" t="inlineStr">
        <is>
          <t>Хостинг в сезон, ₽</t>
        </is>
      </c>
      <c r="B9" s="8" t="n">
        <v>9000</v>
      </c>
      <c r="C9" s="3" t="inlineStr">
        <is>
          <t>1 500 ₽/мес × 6 месяцев</t>
        </is>
      </c>
    </row>
    <row r="10">
      <c r="A10" s="5" t="inlineStr">
        <is>
          <t>Печать одного QR, ₽</t>
        </is>
      </c>
      <c r="B10" s="6" t="n">
        <v>1</v>
      </c>
      <c r="C10" s="5" t="inlineStr">
        <is>
          <t>Указано в исходном тексте</t>
        </is>
      </c>
    </row>
    <row r="11">
      <c r="A11" s="3" t="inlineStr">
        <is>
          <t>Реклама в 1-й год, ₽</t>
        </is>
      </c>
      <c r="B11" s="8" t="n">
        <v>60000</v>
      </c>
      <c r="C11" s="3" t="inlineStr">
        <is>
          <t>Рост на 10% в год</t>
        </is>
      </c>
    </row>
    <row r="12">
      <c r="A12" s="5" t="inlineStr">
        <is>
          <t>Мерч в 1-й год, ₽</t>
        </is>
      </c>
      <c r="B12" s="6" t="n">
        <v>120000</v>
      </c>
      <c r="C12" s="5" t="inlineStr">
        <is>
          <t>Рост на 5% в год</t>
        </is>
      </c>
    </row>
    <row r="13">
      <c r="A13" s="3" t="inlineStr">
        <is>
          <t>Настройка админки/экспорта, ₽</t>
        </is>
      </c>
      <c r="B13" s="8" t="n">
        <v>25000</v>
      </c>
      <c r="C13" s="3" t="inlineStr">
        <is>
          <t>Разовый CapEx</t>
        </is>
      </c>
    </row>
    <row r="14">
      <c r="A14" s="5" t="inlineStr">
        <is>
          <t>Редизайн банки, ₽</t>
        </is>
      </c>
      <c r="B14" s="6" t="n">
        <v>30000</v>
      </c>
      <c r="C14" s="5" t="inlineStr">
        <is>
          <t>Разовый CapEx</t>
        </is>
      </c>
    </row>
    <row r="15">
      <c r="A15" s="3" t="inlineStr">
        <is>
          <t>Юридические расходы, ₽</t>
        </is>
      </c>
      <c r="B15" s="8" t="n">
        <v>20000</v>
      </c>
      <c r="C15" s="3" t="inlineStr">
        <is>
          <t>Разовый CapEx</t>
        </is>
      </c>
    </row>
    <row r="16">
      <c r="A16" s="5" t="inlineStr">
        <is>
          <t>Экономия от снижения отсева</t>
        </is>
      </c>
      <c r="B16" s="5" t="inlineStr">
        <is>
          <t>18% × 250 000 ₽ × число наймов</t>
        </is>
      </c>
      <c r="C16" s="5" t="inlineStr">
        <is>
          <t>Формула в исходном тексте повреждена; сохранена буквальная интерпретация</t>
        </is>
      </c>
    </row>
    <row r="17">
      <c r="A17" s="3" t="inlineStr">
        <is>
          <t>5-летний тираж</t>
        </is>
      </c>
      <c r="B17" s="3" t="n">
        <v>1000000</v>
      </c>
      <c r="C17" s="3" t="inlineStr">
        <is>
          <t>100k + 200k + 200k + 250k + 250k</t>
        </is>
      </c>
    </row>
    <row r="18">
      <c r="A18" s="5" t="inlineStr">
        <is>
          <t>5-летнее количество наймов</t>
        </is>
      </c>
      <c r="B18" s="5" t="n">
        <v>91</v>
      </c>
      <c r="C18" s="5" t="inlineStr">
        <is>
          <t>Указано как итог, без годовой разбивки</t>
        </is>
      </c>
    </row>
    <row r="19">
      <c r="A19" s="3" t="inlineStr">
        <is>
          <t>5-летние затраты</t>
        </is>
      </c>
      <c r="B19" s="3" t="n">
        <v>1420000</v>
      </c>
      <c r="C19" s="3" t="inlineStr">
        <is>
          <t>Указано как итог, без годовой разбивки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2026-10-25T11:49:11Z</dcterms:created>
  <dcterms:modified xmlns:dcterms="http://purl.org/dc/terms/" xmlns:xsi="http://www.w3.org/2001/XMLSchema-instance" xsi:type="dcterms:W3CDTF">2026-10-25T11:49:11Z</dcterms:modified>
</cp:coreProperties>
</file>